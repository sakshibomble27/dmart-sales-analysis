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DDHESH\Desktop\dmart_sale_analysi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H21" i="1"/>
  <c r="H22" i="1"/>
  <c r="H23" i="1"/>
  <c r="H19" i="1"/>
  <c r="H18" i="1"/>
  <c r="G20" i="1"/>
  <c r="G21" i="1"/>
  <c r="G22" i="1"/>
  <c r="G23" i="1"/>
  <c r="G19" i="1"/>
  <c r="G18" i="1"/>
  <c r="F21" i="1"/>
  <c r="F23" i="1"/>
  <c r="F22" i="1"/>
  <c r="F20" i="1"/>
  <c r="F19" i="1"/>
  <c r="F18" i="1"/>
  <c r="Q12" i="1"/>
  <c r="Q11" i="1"/>
  <c r="Q10" i="1"/>
  <c r="Q9" i="1"/>
  <c r="Q8" i="1"/>
  <c r="Q7" i="1"/>
  <c r="Q6" i="1"/>
  <c r="O7" i="1" l="1"/>
  <c r="O8" i="1"/>
  <c r="O9" i="1"/>
  <c r="O10" i="1"/>
  <c r="O11" i="1"/>
  <c r="O12" i="1"/>
  <c r="O6" i="1"/>
  <c r="N7" i="1"/>
  <c r="N8" i="1"/>
  <c r="N9" i="1"/>
  <c r="N10" i="1"/>
  <c r="N11" i="1"/>
  <c r="N12" i="1"/>
  <c r="N6" i="1"/>
  <c r="M7" i="1"/>
  <c r="M8" i="1"/>
  <c r="M9" i="1"/>
  <c r="M10" i="1"/>
  <c r="M11" i="1"/>
  <c r="M12" i="1"/>
  <c r="M6" i="1"/>
  <c r="L7" i="1"/>
  <c r="L8" i="1"/>
  <c r="L9" i="1"/>
  <c r="L10" i="1"/>
  <c r="L11" i="1"/>
  <c r="L12" i="1"/>
  <c r="L6" i="1"/>
  <c r="K11" i="1"/>
  <c r="K10" i="1"/>
  <c r="K12" i="1"/>
  <c r="K9" i="1"/>
  <c r="K8" i="1"/>
  <c r="K7" i="1"/>
  <c r="K6" i="1"/>
  <c r="J12" i="1"/>
  <c r="J11" i="1"/>
  <c r="J10" i="1"/>
  <c r="J9" i="1"/>
  <c r="J8" i="1"/>
  <c r="J7" i="1"/>
  <c r="J6" i="1"/>
  <c r="I7" i="1"/>
  <c r="I8" i="1"/>
  <c r="I9" i="1"/>
  <c r="I10" i="1"/>
  <c r="I11" i="1"/>
  <c r="I12" i="1"/>
  <c r="I6" i="1"/>
  <c r="H9" i="1"/>
  <c r="H10" i="1"/>
  <c r="H11" i="1"/>
  <c r="H12" i="1"/>
  <c r="H8" i="1"/>
  <c r="H7" i="1"/>
  <c r="H6" i="1"/>
  <c r="G7" i="1"/>
  <c r="G8" i="1"/>
  <c r="G9" i="1"/>
  <c r="G10" i="1"/>
  <c r="G11" i="1"/>
  <c r="G12" i="1"/>
  <c r="G6" i="1"/>
  <c r="F7" i="1"/>
  <c r="F8" i="1"/>
  <c r="F9" i="1"/>
  <c r="F10" i="1"/>
  <c r="F11" i="1"/>
  <c r="F12" i="1"/>
  <c r="F6" i="1"/>
  <c r="P6" i="1"/>
</calcChain>
</file>

<file path=xl/sharedStrings.xml><?xml version="1.0" encoding="utf-8"?>
<sst xmlns="http://schemas.openxmlformats.org/spreadsheetml/2006/main" count="41" uniqueCount="39">
  <si>
    <t>sakshi Bomble</t>
  </si>
  <si>
    <t>Siddesh Bomble</t>
  </si>
  <si>
    <t>Tushar tathe</t>
  </si>
  <si>
    <t>Kiran salunke</t>
  </si>
  <si>
    <t>Jaii shinde</t>
  </si>
  <si>
    <t>Poojja Borate</t>
  </si>
  <si>
    <t>Sakshi Raut</t>
  </si>
  <si>
    <t>Text</t>
  </si>
  <si>
    <t>Left side data extract</t>
  </si>
  <si>
    <t>Right side data extract</t>
  </si>
  <si>
    <t>Extract the char in middle</t>
  </si>
  <si>
    <t>Count total char</t>
  </si>
  <si>
    <t>Find position of char</t>
  </si>
  <si>
    <t>Upper Converted text</t>
  </si>
  <si>
    <t>Lower Convert</t>
  </si>
  <si>
    <t>Remove text Space</t>
  </si>
  <si>
    <t>Jion the multiple value</t>
  </si>
  <si>
    <t>Replace specific text</t>
  </si>
  <si>
    <t xml:space="preserve"> for multiple char</t>
  </si>
  <si>
    <t xml:space="preserve">Search position of char </t>
  </si>
  <si>
    <t xml:space="preserve"> delimiter</t>
  </si>
  <si>
    <t xml:space="preserve">Jion text with </t>
  </si>
  <si>
    <t>Er siddesh</t>
  </si>
  <si>
    <t>Tushar</t>
  </si>
  <si>
    <t>Replace text on based</t>
  </si>
  <si>
    <t>on position</t>
  </si>
  <si>
    <t>Mah1002</t>
  </si>
  <si>
    <t>mad345</t>
  </si>
  <si>
    <t>Moh27</t>
  </si>
  <si>
    <t>suraj34</t>
  </si>
  <si>
    <t>ram55</t>
  </si>
  <si>
    <t>goty87</t>
  </si>
  <si>
    <t>visha90</t>
  </si>
  <si>
    <t>value</t>
  </si>
  <si>
    <t>exactly</t>
  </si>
  <si>
    <t xml:space="preserve">Compare to text </t>
  </si>
  <si>
    <t>convert text no to numeric</t>
  </si>
  <si>
    <t>Format number</t>
  </si>
  <si>
    <t>dates as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</si>
</sst>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23"/>
  <sheetViews>
    <sheetView tabSelected="1" topLeftCell="G1" workbookViewId="0">
      <selection activeCell="P24" sqref="P24"/>
    </sheetView>
  </sheetViews>
  <sheetFormatPr defaultRowHeight="14.4" x14ac:dyDescent="0.3"/>
  <cols>
    <col min="1" max="1" width="19.77734375" customWidth="1"/>
    <col min="4" max="4" width="13.77734375" customWidth="1"/>
    <col min="6" max="6" width="18" customWidth="1"/>
    <col min="7" max="7" width="18.88671875" customWidth="1"/>
    <col min="8" max="8" width="21.5546875" customWidth="1"/>
    <col min="9" max="9" width="13.109375" customWidth="1"/>
    <col min="10" max="10" width="17.5546875" customWidth="1"/>
    <col min="11" max="11" width="19" customWidth="1"/>
    <col min="12" max="12" width="18.109375" customWidth="1"/>
    <col min="13" max="13" width="12.109375" customWidth="1"/>
    <col min="14" max="14" width="16.21875" customWidth="1"/>
    <col min="15" max="15" width="19.88671875" customWidth="1"/>
    <col min="16" max="16" width="20.77734375" customWidth="1"/>
    <col min="17" max="17" width="16.6640625" customWidth="1"/>
  </cols>
  <sheetData>
    <row r="3" spans="2:18" x14ac:dyDescent="0.3">
      <c r="B3" s="1"/>
      <c r="C3" s="2" t="s">
        <v>7</v>
      </c>
      <c r="D3" s="2" t="s">
        <v>7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19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21</v>
      </c>
      <c r="Q3" s="2" t="s">
        <v>17</v>
      </c>
      <c r="R3" s="1"/>
    </row>
    <row r="4" spans="2:18" x14ac:dyDescent="0.3">
      <c r="B4" s="1"/>
      <c r="C4" s="1"/>
      <c r="D4" s="1"/>
      <c r="E4" s="1"/>
      <c r="F4" s="1"/>
      <c r="G4" s="1"/>
      <c r="H4" s="1"/>
      <c r="I4" s="1"/>
      <c r="J4" s="1"/>
      <c r="K4" s="2" t="s">
        <v>18</v>
      </c>
      <c r="L4" s="1"/>
      <c r="M4" s="1"/>
      <c r="N4" s="1"/>
      <c r="O4" s="1"/>
      <c r="P4" s="2" t="s">
        <v>20</v>
      </c>
      <c r="Q4" s="1"/>
      <c r="R4" s="1"/>
    </row>
    <row r="5" spans="2:18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2:18" x14ac:dyDescent="0.3">
      <c r="B6" s="1"/>
      <c r="C6" s="1"/>
      <c r="D6" s="1" t="s">
        <v>0</v>
      </c>
      <c r="E6" s="1" t="s">
        <v>26</v>
      </c>
      <c r="F6" s="3" t="str">
        <f>LEFT(D6,7)</f>
        <v xml:space="preserve">sakshi </v>
      </c>
      <c r="G6" s="3" t="str">
        <f>RIGHT(D6,6)</f>
        <v>Bomble</v>
      </c>
      <c r="H6" s="3" t="str">
        <f>MID(D6,4,3)</f>
        <v>shi</v>
      </c>
      <c r="I6" s="3">
        <f>LEN(D6)</f>
        <v>13</v>
      </c>
      <c r="J6" s="3">
        <f>FIND("m",D6)</f>
        <v>10</v>
      </c>
      <c r="K6" s="3">
        <f>SEARCH("m",D6)</f>
        <v>10</v>
      </c>
      <c r="L6" s="1" t="str">
        <f>UPPER(D6)</f>
        <v>SAKSHI BOMBLE</v>
      </c>
      <c r="M6" s="1" t="str">
        <f>LOWER(D6)</f>
        <v>sakshi bomble</v>
      </c>
      <c r="N6" s="1" t="str">
        <f>TRIM(D6)</f>
        <v>sakshi Bomble</v>
      </c>
      <c r="O6" s="1" t="str">
        <f>CONCATENATE(D6,E6)</f>
        <v>sakshi BombleMah1002</v>
      </c>
      <c r="P6" s="1" t="e">
        <f ca="1">TEXTJOIN("-", TRUE,D6,G6,H6,J6)</f>
        <v>#NAME?</v>
      </c>
      <c r="Q6" s="1" t="str">
        <f>SUBSTITUTE(D6,F6,"Sakshi")</f>
        <v>SakshiBomble</v>
      </c>
      <c r="R6" s="1"/>
    </row>
    <row r="7" spans="2:18" x14ac:dyDescent="0.3">
      <c r="B7" s="1"/>
      <c r="C7" s="1" t="s">
        <v>22</v>
      </c>
      <c r="D7" s="1" t="s">
        <v>1</v>
      </c>
      <c r="E7" s="1" t="s">
        <v>27</v>
      </c>
      <c r="F7" s="3" t="str">
        <f t="shared" ref="F7:F12" si="0">LEFT(D7,7)</f>
        <v>Siddesh</v>
      </c>
      <c r="G7" s="3" t="str">
        <f t="shared" ref="G7:G12" si="1">RIGHT(D7,6)</f>
        <v>Bomble</v>
      </c>
      <c r="H7" s="3" t="str">
        <f>MID(D7,2,3)</f>
        <v>idd</v>
      </c>
      <c r="I7" s="3">
        <f t="shared" ref="I7:I12" si="2">LEN(D7)</f>
        <v>14</v>
      </c>
      <c r="J7" s="3">
        <f>FIND("d",D7)</f>
        <v>3</v>
      </c>
      <c r="K7" s="3">
        <f>SEARCH("m",D7)</f>
        <v>11</v>
      </c>
      <c r="L7" s="1" t="str">
        <f t="shared" ref="L7:L12" si="3">UPPER(D7)</f>
        <v>SIDDESH BOMBLE</v>
      </c>
      <c r="M7" s="1" t="str">
        <f t="shared" ref="M7:M12" si="4">LOWER(D7)</f>
        <v>siddesh bomble</v>
      </c>
      <c r="N7" s="1" t="str">
        <f t="shared" ref="N7:N12" si="5">TRIM(D7)</f>
        <v>Siddesh Bomble</v>
      </c>
      <c r="O7" s="1" t="str">
        <f t="shared" ref="O7:O12" si="6">CONCATENATE(D7,E7)</f>
        <v>Siddesh Bomblemad345</v>
      </c>
      <c r="P7" s="1"/>
      <c r="Q7" s="1" t="str">
        <f>SUBSTITUTE(C7,"Ers","er-s")</f>
        <v>Er siddesh</v>
      </c>
      <c r="R7" s="1"/>
    </row>
    <row r="8" spans="2:18" x14ac:dyDescent="0.3">
      <c r="B8" s="1"/>
      <c r="C8" s="1" t="s">
        <v>23</v>
      </c>
      <c r="D8" s="1" t="s">
        <v>2</v>
      </c>
      <c r="E8" s="1" t="s">
        <v>28</v>
      </c>
      <c r="F8" s="3" t="str">
        <f t="shared" si="0"/>
        <v xml:space="preserve">Tushar </v>
      </c>
      <c r="G8" s="3" t="str">
        <f t="shared" si="1"/>
        <v xml:space="preserve"> tathe</v>
      </c>
      <c r="H8" s="3" t="str">
        <f>MID(D8,4,8)</f>
        <v>har tath</v>
      </c>
      <c r="I8" s="3">
        <f t="shared" si="2"/>
        <v>12</v>
      </c>
      <c r="J8" s="3">
        <f>FIND("s",D8)</f>
        <v>3</v>
      </c>
      <c r="K8" s="3">
        <f>SEARCH("a",D8)</f>
        <v>5</v>
      </c>
      <c r="L8" s="1" t="str">
        <f t="shared" si="3"/>
        <v>TUSHAR TATHE</v>
      </c>
      <c r="M8" s="1" t="str">
        <f t="shared" si="4"/>
        <v>tushar tathe</v>
      </c>
      <c r="N8" s="1" t="str">
        <f t="shared" si="5"/>
        <v>Tushar tathe</v>
      </c>
      <c r="O8" s="1" t="str">
        <f t="shared" si="6"/>
        <v>Tushar tatheMoh27</v>
      </c>
      <c r="P8" s="1"/>
      <c r="Q8" s="1" t="str">
        <f>SUBSTITUTE(C8,"Tushar","Er-Tathe")</f>
        <v>Er-Tathe</v>
      </c>
      <c r="R8" s="1"/>
    </row>
    <row r="9" spans="2:18" x14ac:dyDescent="0.3">
      <c r="B9" s="1"/>
      <c r="C9" s="1"/>
      <c r="D9" s="1" t="s">
        <v>3</v>
      </c>
      <c r="E9" s="1" t="s">
        <v>29</v>
      </c>
      <c r="F9" s="3" t="str">
        <f t="shared" si="0"/>
        <v>Kiran s</v>
      </c>
      <c r="G9" s="3" t="str">
        <f t="shared" si="1"/>
        <v>alunke</v>
      </c>
      <c r="H9" s="3" t="str">
        <f t="shared" ref="H9:H12" si="7">MID(D9,4,8)</f>
        <v>an salun</v>
      </c>
      <c r="I9" s="3">
        <f t="shared" si="2"/>
        <v>13</v>
      </c>
      <c r="J9" s="3">
        <f>FIND("l",D9)</f>
        <v>9</v>
      </c>
      <c r="K9" s="3">
        <f>SEARCH("i",D9)</f>
        <v>2</v>
      </c>
      <c r="L9" s="1" t="str">
        <f t="shared" si="3"/>
        <v>KIRAN SALUNKE</v>
      </c>
      <c r="M9" s="1" t="str">
        <f t="shared" si="4"/>
        <v>kiran salunke</v>
      </c>
      <c r="N9" s="1" t="str">
        <f t="shared" si="5"/>
        <v>Kiran salunke</v>
      </c>
      <c r="O9" s="1" t="str">
        <f t="shared" si="6"/>
        <v>Kiran salunkesuraj34</v>
      </c>
      <c r="P9" s="1"/>
      <c r="Q9" s="1" t="str">
        <f>SUBSTITUTE(D9,"Kiran","pooja")</f>
        <v>pooja salunke</v>
      </c>
      <c r="R9" s="1"/>
    </row>
    <row r="10" spans="2:18" x14ac:dyDescent="0.3">
      <c r="B10" s="1"/>
      <c r="C10" s="1"/>
      <c r="D10" s="1" t="s">
        <v>4</v>
      </c>
      <c r="E10" s="1" t="s">
        <v>30</v>
      </c>
      <c r="F10" s="3" t="str">
        <f t="shared" si="0"/>
        <v>Jaii sh</v>
      </c>
      <c r="G10" s="3" t="str">
        <f t="shared" si="1"/>
        <v>shinde</v>
      </c>
      <c r="H10" s="3" t="str">
        <f t="shared" si="7"/>
        <v>i shinde</v>
      </c>
      <c r="I10" s="3">
        <f t="shared" si="2"/>
        <v>11</v>
      </c>
      <c r="J10" s="3">
        <f>FIND("e",D10)</f>
        <v>11</v>
      </c>
      <c r="K10" s="3">
        <f t="shared" ref="K10:K12" si="8">SEARCH("i",D10)</f>
        <v>3</v>
      </c>
      <c r="L10" s="1" t="str">
        <f t="shared" si="3"/>
        <v>JAII SHINDE</v>
      </c>
      <c r="M10" s="1" t="str">
        <f t="shared" si="4"/>
        <v>jaii shinde</v>
      </c>
      <c r="N10" s="1" t="str">
        <f t="shared" si="5"/>
        <v>Jaii shinde</v>
      </c>
      <c r="O10" s="1" t="str">
        <f t="shared" si="6"/>
        <v>Jaii shinderam55</v>
      </c>
      <c r="P10" s="1"/>
      <c r="Q10" s="1" t="str">
        <f>SUBSTITUTE(D10,"shinde","Bomble")</f>
        <v>Jaii Bomble</v>
      </c>
      <c r="R10" s="1"/>
    </row>
    <row r="11" spans="2:18" x14ac:dyDescent="0.3">
      <c r="B11" s="1"/>
      <c r="C11" s="1"/>
      <c r="D11" s="1" t="s">
        <v>5</v>
      </c>
      <c r="E11" s="1" t="s">
        <v>31</v>
      </c>
      <c r="F11" s="3" t="str">
        <f t="shared" si="0"/>
        <v xml:space="preserve">Poojja </v>
      </c>
      <c r="G11" s="3" t="str">
        <f t="shared" si="1"/>
        <v>Borate</v>
      </c>
      <c r="H11" s="3" t="str">
        <f t="shared" si="7"/>
        <v>jja Bora</v>
      </c>
      <c r="I11" s="3">
        <f t="shared" si="2"/>
        <v>13</v>
      </c>
      <c r="J11" s="3">
        <f t="shared" ref="J11:J12" si="9">FIND("e",D11)</f>
        <v>13</v>
      </c>
      <c r="K11" s="3">
        <f>SEARCH("B",D11)</f>
        <v>8</v>
      </c>
      <c r="L11" s="1" t="str">
        <f t="shared" si="3"/>
        <v>POOJJA BORATE</v>
      </c>
      <c r="M11" s="1" t="str">
        <f t="shared" si="4"/>
        <v>poojja borate</v>
      </c>
      <c r="N11" s="1" t="str">
        <f t="shared" si="5"/>
        <v>Poojja Borate</v>
      </c>
      <c r="O11" s="1" t="str">
        <f t="shared" si="6"/>
        <v>Poojja Borategoty87</v>
      </c>
      <c r="P11" s="1"/>
      <c r="Q11" s="1" t="str">
        <f>SUBSTITUTE(D11,"poojja","DR")</f>
        <v>Poojja Borate</v>
      </c>
      <c r="R11" s="1"/>
    </row>
    <row r="12" spans="2:18" x14ac:dyDescent="0.3">
      <c r="B12" s="1"/>
      <c r="C12" s="1"/>
      <c r="D12" s="1" t="s">
        <v>6</v>
      </c>
      <c r="E12" s="1" t="s">
        <v>32</v>
      </c>
      <c r="F12" s="3" t="str">
        <f t="shared" si="0"/>
        <v xml:space="preserve">Sakshi </v>
      </c>
      <c r="G12" s="3" t="str">
        <f t="shared" si="1"/>
        <v>i Raut</v>
      </c>
      <c r="H12" s="3" t="str">
        <f t="shared" si="7"/>
        <v>shi Raut</v>
      </c>
      <c r="I12" s="3">
        <f t="shared" si="2"/>
        <v>11</v>
      </c>
      <c r="J12" s="3">
        <f>FIND("R",D12)</f>
        <v>8</v>
      </c>
      <c r="K12" s="3">
        <f t="shared" si="8"/>
        <v>6</v>
      </c>
      <c r="L12" s="1" t="str">
        <f t="shared" si="3"/>
        <v>SAKSHI RAUT</v>
      </c>
      <c r="M12" s="1" t="str">
        <f t="shared" si="4"/>
        <v>sakshi raut</v>
      </c>
      <c r="N12" s="1" t="str">
        <f t="shared" si="5"/>
        <v>Sakshi Raut</v>
      </c>
      <c r="O12" s="1" t="str">
        <f t="shared" si="6"/>
        <v>Sakshi Rautvisha90</v>
      </c>
      <c r="P12" s="1"/>
      <c r="Q12" s="1" t="str">
        <f>SUBSTITUTE(E12,"vishal","VISHAL")</f>
        <v>visha90</v>
      </c>
      <c r="R12" s="1"/>
    </row>
    <row r="13" spans="2:18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2:18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2:18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2:18" x14ac:dyDescent="0.3">
      <c r="B16" s="1"/>
      <c r="C16" s="1"/>
      <c r="D16" s="1"/>
      <c r="E16" s="1"/>
      <c r="F16" s="2" t="s">
        <v>24</v>
      </c>
      <c r="G16" s="2" t="s">
        <v>35</v>
      </c>
      <c r="H16" s="2" t="s">
        <v>36</v>
      </c>
      <c r="I16" s="2" t="s">
        <v>37</v>
      </c>
      <c r="J16" s="1"/>
      <c r="K16" s="1"/>
      <c r="L16" s="1"/>
      <c r="M16" s="1"/>
      <c r="N16" s="1"/>
      <c r="O16" s="1"/>
      <c r="P16" s="1"/>
      <c r="Q16" s="1"/>
      <c r="R16" s="1"/>
    </row>
    <row r="17" spans="2:18" x14ac:dyDescent="0.3">
      <c r="B17" s="1"/>
      <c r="C17" s="1"/>
      <c r="D17" s="1"/>
      <c r="E17" s="1"/>
      <c r="F17" s="2" t="s">
        <v>25</v>
      </c>
      <c r="G17" s="2" t="s">
        <v>34</v>
      </c>
      <c r="H17" s="2" t="s">
        <v>33</v>
      </c>
      <c r="I17" s="2" t="s">
        <v>38</v>
      </c>
      <c r="J17" s="1"/>
      <c r="K17" s="1"/>
      <c r="L17" s="1"/>
      <c r="M17" s="1"/>
      <c r="N17" s="1"/>
      <c r="O17" s="1"/>
      <c r="P17" s="1"/>
      <c r="Q17" s="1"/>
      <c r="R17" s="1"/>
    </row>
    <row r="18" spans="2:18" x14ac:dyDescent="0.3">
      <c r="B18" s="1"/>
      <c r="C18" s="1"/>
      <c r="D18" s="1"/>
      <c r="E18" s="1"/>
      <c r="F18" s="1" t="str">
        <f>REPLACE(E6,1,3,"sak")</f>
        <v>sak1002</v>
      </c>
      <c r="G18" s="1" t="b">
        <f>EXACT(F6,E6)</f>
        <v>0</v>
      </c>
      <c r="H18" s="1">
        <f>VALUE(I6)</f>
        <v>13</v>
      </c>
      <c r="I18" s="1" t="str">
        <f ca="1">TEXT(TODAY(),"dd-mmm-yyyy")</f>
        <v>11-Jun-2026</v>
      </c>
      <c r="J18" s="1"/>
      <c r="K18" s="1"/>
      <c r="L18" s="1"/>
      <c r="M18" s="1"/>
      <c r="N18" s="1"/>
      <c r="O18" s="1"/>
      <c r="P18" s="1"/>
      <c r="Q18" s="1"/>
      <c r="R18" s="1"/>
    </row>
    <row r="19" spans="2:18" x14ac:dyDescent="0.3">
      <c r="B19" s="1"/>
      <c r="C19" s="1"/>
      <c r="D19" s="1"/>
      <c r="E19" s="1"/>
      <c r="F19" s="1" t="str">
        <f>REPLACE(E7,1,3,"ram")</f>
        <v>ram345</v>
      </c>
      <c r="G19" s="1" t="b">
        <f>EXACT(G6,G7)</f>
        <v>1</v>
      </c>
      <c r="H19" s="1">
        <f>VALUE("14")</f>
        <v>14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2:18" x14ac:dyDescent="0.3">
      <c r="B20" s="1"/>
      <c r="C20" s="1"/>
      <c r="D20" s="1"/>
      <c r="E20" s="1"/>
      <c r="F20" s="1" t="str">
        <f>REPLACE(E8,1,3,"tush")</f>
        <v>tush27</v>
      </c>
      <c r="G20" s="1" t="b">
        <f t="shared" ref="G20:G23" si="10">EXACT(G7,G8)</f>
        <v>0</v>
      </c>
      <c r="H20" s="1">
        <v>12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2:18" x14ac:dyDescent="0.3">
      <c r="B21" s="1"/>
      <c r="C21" s="1"/>
      <c r="D21" s="1"/>
      <c r="E21" s="1"/>
      <c r="F21" s="1" t="str">
        <f>REPLACE(E9,1,4,"alka")</f>
        <v>alkaj34</v>
      </c>
      <c r="G21" s="1" t="b">
        <f t="shared" si="10"/>
        <v>0</v>
      </c>
      <c r="H21" s="1">
        <f t="shared" ref="H20:H23" si="11">VALUE("14")</f>
        <v>14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2:18" x14ac:dyDescent="0.3">
      <c r="B22" s="1"/>
      <c r="C22" s="1"/>
      <c r="D22" s="1"/>
      <c r="E22" s="1"/>
      <c r="F22" s="1" t="str">
        <f>REPLACE(E10,1,3,"aniket")</f>
        <v>aniket55</v>
      </c>
      <c r="G22" s="1" t="b">
        <f t="shared" si="10"/>
        <v>0</v>
      </c>
      <c r="H22" s="1">
        <f t="shared" si="11"/>
        <v>14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2:18" x14ac:dyDescent="0.3">
      <c r="B23" s="1"/>
      <c r="C23" s="1"/>
      <c r="D23" s="1"/>
      <c r="E23" s="1"/>
      <c r="F23" s="1" t="str">
        <f>REPLACE(E11,1,4,"sham")</f>
        <v>sham87</v>
      </c>
      <c r="G23" s="1" t="b">
        <f t="shared" si="10"/>
        <v>0</v>
      </c>
      <c r="H23" s="1">
        <f t="shared" si="11"/>
        <v>14</v>
      </c>
      <c r="I23" s="1"/>
      <c r="J23" s="1"/>
      <c r="K23" s="1"/>
      <c r="L23" s="1"/>
      <c r="M23" s="1"/>
      <c r="N23" s="1"/>
      <c r="O23" s="1"/>
      <c r="P23" s="1"/>
      <c r="Q23" s="1"/>
      <c r="R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</dc:creator>
  <cp:lastModifiedBy>SIDDHESH</cp:lastModifiedBy>
  <dcterms:created xsi:type="dcterms:W3CDTF">2026-06-11T06:01:40Z</dcterms:created>
  <dcterms:modified xsi:type="dcterms:W3CDTF">2026-06-11T08:32:01Z</dcterms:modified>
</cp:coreProperties>
</file>